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1\Downloads\"/>
    </mc:Choice>
  </mc:AlternateContent>
  <xr:revisionPtr revIDLastSave="0" documentId="13_ncr:1_{AD7DF57A-0758-488D-A36D-5742143507B9}" xr6:coauthVersionLast="47" xr6:coauthVersionMax="47" xr10:uidLastSave="{00000000-0000-0000-0000-000000000000}"/>
  <bookViews>
    <workbookView xWindow="-120" yWindow="-120" windowWidth="20730" windowHeight="11040" tabRatio="500" xr2:uid="{00000000-000D-0000-FFFF-FFFF00000000}"/>
  </bookViews>
  <sheets>
    <sheet name="1. Assumptions" sheetId="1" r:id="rId1"/>
    <sheet name="3. P&amp;L &amp; ROI" sheetId="3" r:id="rId2"/>
    <sheet name="2. Unit Economics" sheetId="2"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3" l="1"/>
  <c r="D39" i="3"/>
  <c r="D37" i="3"/>
  <c r="C6" i="3"/>
  <c r="C16" i="3" s="1"/>
  <c r="E18" i="2"/>
  <c r="D18" i="2"/>
  <c r="C18" i="2"/>
  <c r="E8" i="2"/>
  <c r="D8" i="2"/>
  <c r="C8" i="2"/>
  <c r="E36" i="1"/>
  <c r="D36" i="1"/>
  <c r="C36" i="1"/>
  <c r="E28" i="1"/>
  <c r="D28" i="1"/>
  <c r="C28" i="1"/>
  <c r="E19" i="1"/>
  <c r="E14" i="2" s="1"/>
  <c r="D19" i="1"/>
  <c r="D14" i="2" s="1"/>
  <c r="C19" i="1"/>
  <c r="C14" i="2" s="1"/>
  <c r="E15" i="1"/>
  <c r="E9" i="2" s="1"/>
  <c r="D15" i="1"/>
  <c r="D9" i="2" s="1"/>
  <c r="C15" i="1"/>
  <c r="C9" i="2" s="1"/>
  <c r="E10" i="2" l="1"/>
  <c r="E22" i="2" s="1"/>
  <c r="C17" i="3"/>
  <c r="D10" i="2"/>
  <c r="D15" i="2" s="1"/>
  <c r="D21" i="2" s="1"/>
  <c r="C10" i="2"/>
  <c r="C11" i="2" s="1"/>
  <c r="C10" i="3"/>
  <c r="C14" i="3"/>
  <c r="C15" i="3"/>
  <c r="D38" i="3"/>
  <c r="C13" i="3"/>
  <c r="C12" i="3"/>
  <c r="C11" i="3"/>
  <c r="C8" i="3"/>
  <c r="C9" i="3"/>
  <c r="E15" i="2" l="1"/>
  <c r="E21" i="2" s="1"/>
  <c r="E25" i="2" s="1"/>
  <c r="E11" i="2"/>
  <c r="C15" i="2"/>
  <c r="C21" i="2" s="1"/>
  <c r="C22" i="2"/>
  <c r="D11" i="2"/>
  <c r="D22" i="2"/>
  <c r="D25" i="2" s="1"/>
  <c r="Z29" i="3"/>
  <c r="R29" i="3"/>
  <c r="J29" i="3"/>
  <c r="Y29" i="3"/>
  <c r="Q29" i="3"/>
  <c r="I29" i="3"/>
  <c r="X29" i="3"/>
  <c r="P29" i="3"/>
  <c r="H29" i="3"/>
  <c r="W29" i="3"/>
  <c r="O29" i="3"/>
  <c r="G29" i="3"/>
  <c r="N29" i="3"/>
  <c r="M29" i="3"/>
  <c r="K29" i="3"/>
  <c r="L29" i="3"/>
  <c r="V29" i="3"/>
  <c r="F29" i="3"/>
  <c r="U29" i="3"/>
  <c r="E29" i="3"/>
  <c r="T29" i="3"/>
  <c r="D29" i="3"/>
  <c r="S29" i="3"/>
  <c r="C29" i="3"/>
  <c r="V22" i="3"/>
  <c r="V28" i="3" s="1"/>
  <c r="N22" i="3"/>
  <c r="N28" i="3" s="1"/>
  <c r="F22" i="3"/>
  <c r="F28" i="3" s="1"/>
  <c r="U22" i="3"/>
  <c r="U28" i="3" s="1"/>
  <c r="M22" i="3"/>
  <c r="M28" i="3" s="1"/>
  <c r="E22" i="3"/>
  <c r="E28" i="3" s="1"/>
  <c r="T22" i="3"/>
  <c r="T28" i="3" s="1"/>
  <c r="L22" i="3"/>
  <c r="L28" i="3" s="1"/>
  <c r="D22" i="3"/>
  <c r="D28" i="3" s="1"/>
  <c r="S22" i="3"/>
  <c r="S28" i="3" s="1"/>
  <c r="H22" i="3"/>
  <c r="H28" i="3" s="1"/>
  <c r="R22" i="3"/>
  <c r="R28" i="3" s="1"/>
  <c r="G22" i="3"/>
  <c r="G28" i="3" s="1"/>
  <c r="P22" i="3"/>
  <c r="P28" i="3" s="1"/>
  <c r="Q22" i="3"/>
  <c r="Q28" i="3" s="1"/>
  <c r="C22" i="3"/>
  <c r="Z22" i="3"/>
  <c r="Z28" i="3" s="1"/>
  <c r="O22" i="3"/>
  <c r="O28" i="3" s="1"/>
  <c r="Y22" i="3"/>
  <c r="Y28" i="3" s="1"/>
  <c r="K22" i="3"/>
  <c r="K28" i="3" s="1"/>
  <c r="X22" i="3"/>
  <c r="X28" i="3" s="1"/>
  <c r="J22" i="3"/>
  <c r="J28" i="3" s="1"/>
  <c r="W22" i="3"/>
  <c r="W28" i="3" s="1"/>
  <c r="I22" i="3"/>
  <c r="I28" i="3" s="1"/>
  <c r="C25" i="2" l="1"/>
  <c r="AA29" i="3"/>
  <c r="C23" i="3"/>
  <c r="C25" i="3" s="1"/>
  <c r="AA22" i="3"/>
  <c r="C28" i="3"/>
  <c r="AA28" i="3" s="1"/>
  <c r="C26" i="3" l="1"/>
  <c r="D23" i="3"/>
  <c r="C27" i="3" l="1"/>
  <c r="D26" i="3"/>
  <c r="E23" i="3"/>
  <c r="D25" i="3"/>
  <c r="D27" i="3" l="1"/>
  <c r="D30" i="3" s="1"/>
  <c r="D32" i="3" s="1"/>
  <c r="C30" i="3"/>
  <c r="E25" i="3"/>
  <c r="F23" i="3"/>
  <c r="E26" i="3"/>
  <c r="G23" i="3" l="1"/>
  <c r="F26" i="3"/>
  <c r="F25" i="3"/>
  <c r="E27" i="3"/>
  <c r="C32" i="3"/>
  <c r="C41" i="3" l="1"/>
  <c r="C33" i="3"/>
  <c r="E30" i="3"/>
  <c r="F27" i="3"/>
  <c r="F30" i="3" s="1"/>
  <c r="F32" i="3" s="1"/>
  <c r="H23" i="3"/>
  <c r="G26" i="3"/>
  <c r="G25" i="3"/>
  <c r="G27" i="3" l="1"/>
  <c r="G30" i="3" s="1"/>
  <c r="G32" i="3" s="1"/>
  <c r="E32" i="3"/>
  <c r="D33" i="3"/>
  <c r="H26" i="3"/>
  <c r="H25" i="3"/>
  <c r="I23" i="3"/>
  <c r="D41" i="3"/>
  <c r="H27" i="3" l="1"/>
  <c r="H30" i="3" s="1"/>
  <c r="E33" i="3"/>
  <c r="F33" i="3" s="1"/>
  <c r="G33" i="3" s="1"/>
  <c r="E41" i="3"/>
  <c r="F41" i="3" s="1"/>
  <c r="G41" i="3" s="1"/>
  <c r="I26" i="3"/>
  <c r="I25" i="3"/>
  <c r="J23" i="3"/>
  <c r="H32" i="3" l="1"/>
  <c r="J26" i="3"/>
  <c r="K23" i="3"/>
  <c r="J25" i="3"/>
  <c r="I27" i="3"/>
  <c r="J27" i="3" l="1"/>
  <c r="J30" i="3" s="1"/>
  <c r="J32" i="3" s="1"/>
  <c r="H41" i="3"/>
  <c r="H33" i="3"/>
  <c r="I30" i="3"/>
  <c r="K26" i="3"/>
  <c r="L23" i="3"/>
  <c r="K25" i="3"/>
  <c r="I32" i="3" l="1"/>
  <c r="I33" i="3" s="1"/>
  <c r="J33" i="3" s="1"/>
  <c r="K27" i="3"/>
  <c r="L26" i="3"/>
  <c r="M23" i="3"/>
  <c r="L25" i="3"/>
  <c r="K30" i="3" l="1"/>
  <c r="L27" i="3"/>
  <c r="L30" i="3" s="1"/>
  <c r="L32" i="3" s="1"/>
  <c r="M25" i="3"/>
  <c r="N23" i="3"/>
  <c r="M26" i="3"/>
  <c r="I41" i="3"/>
  <c r="M27" i="3" l="1"/>
  <c r="M30" i="3" s="1"/>
  <c r="M32" i="3" s="1"/>
  <c r="O23" i="3"/>
  <c r="N26" i="3"/>
  <c r="N25" i="3"/>
  <c r="J41" i="3"/>
  <c r="K32" i="3"/>
  <c r="N27" i="3" l="1"/>
  <c r="N30" i="3" s="1"/>
  <c r="N32" i="3" s="1"/>
  <c r="K33" i="3"/>
  <c r="K41" i="3"/>
  <c r="O26" i="3"/>
  <c r="O25" i="3"/>
  <c r="P23" i="3"/>
  <c r="L41" i="3" l="1"/>
  <c r="M41" i="3" s="1"/>
  <c r="N41" i="3" s="1"/>
  <c r="Q23" i="3"/>
  <c r="P26" i="3"/>
  <c r="P25" i="3"/>
  <c r="O27" i="3"/>
  <c r="O30" i="3" s="1"/>
  <c r="O32" i="3" s="1"/>
  <c r="L33" i="3"/>
  <c r="M33" i="3" s="1"/>
  <c r="N33" i="3" s="1"/>
  <c r="P27" i="3" l="1"/>
  <c r="P30" i="3" s="1"/>
  <c r="P32" i="3" s="1"/>
  <c r="O33" i="3"/>
  <c r="R23" i="3"/>
  <c r="Q25" i="3"/>
  <c r="Q26" i="3"/>
  <c r="O41" i="3"/>
  <c r="P33" i="3" l="1"/>
  <c r="P41" i="3"/>
  <c r="Q27" i="3"/>
  <c r="Q30" i="3" s="1"/>
  <c r="Q32" i="3" s="1"/>
  <c r="R26" i="3"/>
  <c r="S23" i="3"/>
  <c r="R25" i="3"/>
  <c r="R27" i="3" l="1"/>
  <c r="R30" i="3" s="1"/>
  <c r="R32" i="3" s="1"/>
  <c r="Q33" i="3"/>
  <c r="S26" i="3"/>
  <c r="T23" i="3"/>
  <c r="S25" i="3"/>
  <c r="Q41" i="3"/>
  <c r="R33" i="3" l="1"/>
  <c r="R41" i="3"/>
  <c r="S27" i="3"/>
  <c r="S30" i="3" s="1"/>
  <c r="S32" i="3" s="1"/>
  <c r="T26" i="3"/>
  <c r="U23" i="3"/>
  <c r="T25" i="3"/>
  <c r="S41" i="3" l="1"/>
  <c r="T27" i="3"/>
  <c r="T30" i="3" s="1"/>
  <c r="T32" i="3" s="1"/>
  <c r="S33" i="3"/>
  <c r="U25" i="3"/>
  <c r="V23" i="3"/>
  <c r="U26" i="3"/>
  <c r="T41" i="3" l="1"/>
  <c r="T33" i="3"/>
  <c r="V26" i="3"/>
  <c r="V25" i="3"/>
  <c r="W23" i="3"/>
  <c r="U27" i="3"/>
  <c r="U30" i="3" s="1"/>
  <c r="U32" i="3" s="1"/>
  <c r="U41" i="3" l="1"/>
  <c r="V27" i="3"/>
  <c r="V30" i="3" s="1"/>
  <c r="V32" i="3" s="1"/>
  <c r="W26" i="3"/>
  <c r="W25" i="3"/>
  <c r="X23" i="3"/>
  <c r="U33" i="3"/>
  <c r="V41" i="3" l="1"/>
  <c r="W27" i="3"/>
  <c r="W30" i="3" s="1"/>
  <c r="W32" i="3" s="1"/>
  <c r="V33" i="3"/>
  <c r="Y23" i="3"/>
  <c r="X26" i="3"/>
  <c r="X25" i="3"/>
  <c r="W41" i="3" l="1"/>
  <c r="W33" i="3"/>
  <c r="X27" i="3"/>
  <c r="X30" i="3" s="1"/>
  <c r="X32" i="3" s="1"/>
  <c r="Z23" i="3"/>
  <c r="Y26" i="3"/>
  <c r="Y25" i="3"/>
  <c r="X41" i="3" l="1"/>
  <c r="Y27" i="3"/>
  <c r="Y30" i="3" s="1"/>
  <c r="Y32" i="3" s="1"/>
  <c r="X33" i="3"/>
  <c r="Z26" i="3"/>
  <c r="AA26" i="3" s="1"/>
  <c r="Z25" i="3"/>
  <c r="Y41" i="3" l="1"/>
  <c r="Y33" i="3"/>
  <c r="Z27" i="3"/>
  <c r="AA25" i="3"/>
  <c r="Z30" i="3" l="1"/>
  <c r="AA27" i="3"/>
  <c r="Z32" i="3" l="1"/>
  <c r="C38" i="3" s="1"/>
  <c r="AA30" i="3"/>
  <c r="C37" i="3" l="1"/>
  <c r="AA32" i="3"/>
  <c r="Z41" i="3"/>
  <c r="C39" i="3" s="1"/>
  <c r="Z33" i="3"/>
  <c r="C40" i="3" s="1"/>
  <c r="C44" i="3" l="1"/>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<sst xmlns="http://schemas.openxmlformats.org/spreadsheetml/2006/main" count="153" uniqueCount="137">
  <si>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</si>
  <si>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</si>
  <si>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</si>
  <si>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</si>
  <si>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</si>
  <si>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</si>
  <si>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</si>
  <si>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</si>
  <si>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</si>
  <si>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</si>
  <si>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</si>
  <si>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</si>
  <si>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</si>
  <si>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</si>
  <si>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</si>
  <si>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</si>
  <si>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</si>
  <si>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</si>
  <si>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</si>
  <si>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</si>
  <si>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</si>
  <si>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</si>
  <si>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</si>
  <si>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</si>
  <si>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</si>
  <si>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</si>
  <si>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</si>
  <si>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</si>
  <si>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</si>
  <si>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</si>
  <si>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</si>
  <si>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</si>
  <si>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</si>
  <si>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</si>
  <si>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</si>
  <si>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</si>
  <si>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</si>
  <si>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</si>
  <si>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</si>
  <si>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</si>
  <si>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</si>
  <si>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</si>
  <si>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</si>
  <si>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</si>
  <si>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</si>
  <si>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</si>
  <si>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</si>
  <si>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</si>
  <si>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</si>
  <si>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</si>
  <si>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</si>
  <si>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</si>
  <si>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</si>
  <si>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</si>
  <si>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</si>
  <si>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</si>
  <si>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</si>
  <si>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</si>
  <si>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</si>
  <si>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</si>
  <si>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</si>
  <si>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</si>
  <si>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</si>
  <si>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</si>
  <si>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</si>
  <si>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</si>
  <si>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</si>
  <si>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</si>
  <si>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</si>
  <si>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</si>
  <si>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</si>
  <si>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</si>
  <si>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</si>
  <si>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</si>
  <si>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</si>
  <si>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</si>
  <si>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</si>
  <si>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</si>
  <si>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</si>
  <si>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</si>
  <si>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</si>
  <si>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</si>
  <si>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</si>
  <si>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</si>
  <si>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</si>
  <si>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</si>
  <si>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</si>
  <si>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</si>
  <si>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</si>
  <si>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</si>
  <si>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</si>
  <si>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</si>
  <si>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</si>
  <si>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</si>
  <si>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</si>
  <si>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</si>
  <si>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</si>
  <si>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</si>
  <si>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</si>
  <si>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</si>
  <si>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</si>
  <si>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</si>
  <si>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</si>
  <si>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</si>
  <si>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</si>
  <si>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</si>
  <si>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</si>
  <si>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</si>
  <si>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</si>
  <si>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</si>
  <si>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</si>
  <si>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</si>
  <si>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</si>
  <si>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</si>
  <si>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</si>
  <si>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</si>
  <si>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</si>
  <si>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</si>
  <si>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</si>
  <si>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</si>
  <si>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</si>
  <si>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</si>
  <si>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</si>
  <si>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</si>
  <si>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</si>
  <si>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</si>
  <si>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</si>
  <si>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</si>
  <si>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</si>
  <si>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</si>
  <si>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</si>
  <si>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</si>
  <si>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</si>
  <si>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</si>
  <si>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</si>
  <si>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</si>
  <si>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 xml:space="preserve">ARPU 150.000 VNĐ vì nó là mức chi phí dễ chấp nhận cho các gia đình trung lưu đô thị trong khi vẫn đảm bảo biên lợi nhuận gộp trên 50% để bù đắp chi phí vận hành AI. Mức CAC 40.000 VNĐ được bảo vệ bởi chiến lược tiếp cận tập trung qua các hội nhóm cộng đồng caregiver và hợp tác với nhà thuốc, nơi có tỷ lệ chuyển đổi cao giúp tối ưu hóa chi phí quảng cáo so với việc chạy mass-marketing đại trà.  Để bảo vệ con số này, dự án tập trung vào mức CAC 40.000 VNĐ thông qua chiến lược thâm nhập vào cộng đồng caregiver thông qua mạng xã hội và  mạng lưới nhà thuốc thay vì đổ tiền vào quảng cáo đại trà để đạt tỷ lệ chuyển đổi cao với chi phí tối ưu.  Dù Hidden Costs (chi phí dán nhãn dữ liệu, QA,chuyên gia ) hiện là rủi ro biến phí lớn nhất. Trong kịch bản tốt, dữ liệu tích lũy đủ lớn, AI sẽ dần tự động hóa quy trình kiểm định, giúp giảm phụ thuộc vào nhân sự thủ công và tối ưu hóa chi phí gọi API. Kết hợp với hiệu ứng lan tỏa từ cộng đồng, biên lợi nhuận sẽ được mở rộng theo thời gian, chuyển đổi mô hình từ thâm dụng lao động sang khai thác hiệu suất thuật toán thuần túy.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</si>
</sst>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2"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
      <sz val="10"/>
      <color rgb="FF0000FF"/>
      <name val="Arial"/>
      <family val="2"/>
    </font>
    <font>
      <b/>
      <sz val="10"/>
      <color rgb="FF0000FF"/>
      <name val="Arial"/>
      <family val="2"/>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6">
    <xf numFmtId="0" fontId="0" fillId="0" borderId="0" xfId="0"/>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xf numFmtId="9" fontId="0" fillId="0" borderId="0" xfId="0" applyNumberFormat="1"/>
    <xf numFmtId="0" fontId="7" fillId="7" borderId="3" xfId="0" applyFont="1" applyFill="1" applyBorder="1" applyAlignment="1">
      <alignment horizontal="left" vertical="top" wrapText="1" indent="1"/>
    </xf>
    <xf numFmtId="0" fontId="3" fillId="3" borderId="0" xfId="0" applyFont="1" applyFill="1" applyAlignment="1">
      <alignment horizontal="left" vertical="center" inden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19" fillId="0" borderId="0" xfId="0" applyFont="1" applyAlignment="1">
      <alignment horizontal="left" vertical="center"/>
    </xf>
    <xf numFmtId="0" fontId="20" fillId="7" borderId="3" xfId="0" applyFont="1" applyFill="1" applyBorder="1" applyAlignment="1">
      <alignment horizontal="left" vertical="top" wrapText="1" indent="1"/>
    </xf>
    <xf numFmtId="165" fontId="21" fillId="7" borderId="1" xfId="0" applyNumberFormat="1" applyFont="1" applyFill="1" applyBorder="1" applyAlignment="1">
      <alignment horizontal="right" vertical="center"/>
    </xf>
  </cellXfs>
  <cellStyles count="1">
    <cellStyle name="Normal" xfId="0" builtinId="0"/>
  </cellStyles>
  <dxfs count="12">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9"/>
        <color rgb="FFDC2626"/>
        <name val="Arial"/>
        <charset val="1"/>
      </font>
      <fill>
        <patternFill>
          <bgColor rgb="FFFEE2E2"/>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tabSelected="1" zoomScale="90" zoomScaleNormal="100" workbookViewId="0">
      <pane ySplit="5" topLeftCell="A35" activePane="bottomLeft" state="frozen"/>
      <selection pane="bottomLeft" activeCell="B39" sqref="B39:F41"/>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1" t="s">
        <v>0</v>
      </c>
      <c r="C2" s="51"/>
      <c r="D2" s="51"/>
      <c r="E2" s="51"/>
      <c r="F2" s="51"/>
    </row>
    <row r="3" spans="2:7" ht="19.5" customHeight="1" x14ac:dyDescent="0.25">
      <c r="B3" s="52" t="s">
        <v>1</v>
      </c>
      <c r="C3" s="52"/>
      <c r="D3" s="52"/>
      <c r="E3" s="52"/>
      <c r="F3" s="52"/>
      <c r="G3" s="52"/>
    </row>
    <row r="5" spans="2:7" x14ac:dyDescent="0.25">
      <c r="B5" s="50" t="s">
        <v>2</v>
      </c>
      <c r="C5" s="50"/>
      <c r="D5" s="50"/>
      <c r="E5" s="50"/>
      <c r="F5" s="50"/>
    </row>
    <row r="6" spans="2:7" x14ac:dyDescent="0.25">
      <c r="C6" s="2" t="s">
        <v>3</v>
      </c>
      <c r="D6" s="3" t="s">
        <v>4</v>
      </c>
      <c r="E6" s="4" t="s">
        <v>5</v>
      </c>
      <c r="F6" s="5" t="s">
        <v>6</v>
      </c>
      <c r="G6" s="6" t="s">
        <v>7</v>
      </c>
    </row>
    <row r="7" spans="2:7" x14ac:dyDescent="0.25">
      <c r="B7" s="7" t="s">
        <v>8</v>
      </c>
      <c r="C7" s="8">
        <v>180000</v>
      </c>
      <c r="D7" s="8">
        <v>150000</v>
      </c>
      <c r="E7" s="8">
        <v>130000</v>
      </c>
      <c r="F7" s="9" t="s">
        <v>9</v>
      </c>
      <c r="G7" s="1" t="s">
        <v>10</v>
      </c>
    </row>
    <row r="8" spans="2:7" x14ac:dyDescent="0.25">
      <c r="B8" s="7" t="s">
        <v>11</v>
      </c>
      <c r="C8" s="10">
        <v>0.02</v>
      </c>
      <c r="D8" s="10">
        <v>1.7999999999999999E-2</v>
      </c>
      <c r="E8" s="55">
        <v>1.2E-2</v>
      </c>
      <c r="F8" s="9" t="s">
        <v>12</v>
      </c>
      <c r="G8" s="1" t="s">
        <v>13</v>
      </c>
    </row>
    <row r="9" spans="2:7" x14ac:dyDescent="0.25">
      <c r="B9" s="7" t="s">
        <v>14</v>
      </c>
      <c r="C9" s="8">
        <v>50000</v>
      </c>
      <c r="D9" s="8">
        <v>50000</v>
      </c>
      <c r="E9" s="8">
        <v>50000</v>
      </c>
      <c r="F9" s="9" t="s">
        <v>15</v>
      </c>
      <c r="G9" s="1" t="s">
        <v>16</v>
      </c>
    </row>
    <row r="11" spans="2:7" x14ac:dyDescent="0.25">
      <c r="B11" s="50" t="s">
        <v>17</v>
      </c>
      <c r="C11" s="50"/>
      <c r="D11" s="50"/>
      <c r="E11" s="50"/>
      <c r="F11" s="50"/>
    </row>
    <row r="12" spans="2:7" x14ac:dyDescent="0.25">
      <c r="B12" s="7" t="s">
        <v>18</v>
      </c>
      <c r="C12" s="8">
        <v>12000</v>
      </c>
      <c r="D12" s="8">
        <v>10000</v>
      </c>
      <c r="E12" s="8">
        <v>8000</v>
      </c>
      <c r="F12" s="9" t="s">
        <v>9</v>
      </c>
      <c r="G12" s="1" t="s">
        <v>19</v>
      </c>
    </row>
    <row r="13" spans="2:7" x14ac:dyDescent="0.25">
      <c r="B13" s="7" t="s">
        <v>20</v>
      </c>
      <c r="C13" s="8">
        <v>50000</v>
      </c>
      <c r="D13" s="8">
        <v>50000</v>
      </c>
      <c r="E13" s="8">
        <v>50000</v>
      </c>
      <c r="F13" s="9" t="s">
        <v>9</v>
      </c>
      <c r="G13" s="1" t="s">
        <v>21</v>
      </c>
    </row>
    <row r="14" spans="2:7" x14ac:dyDescent="0.25">
      <c r="B14" s="7" t="s">
        <v>22</v>
      </c>
      <c r="C14" s="8">
        <v>5000</v>
      </c>
      <c r="D14" s="8">
        <v>10000</v>
      </c>
      <c r="E14" s="8">
        <v>10000</v>
      </c>
      <c r="F14" s="9" t="s">
        <v>9</v>
      </c>
      <c r="G14" s="1" t="s">
        <v>23</v>
      </c>
    </row>
    <row r="15" spans="2:7" x14ac:dyDescent="0.25">
      <c r="B15" s="11" t="s">
        <v>24</v>
      </c>
      <c r="C15" s="12">
        <f>C12+C13+C14</f>
        <v>67000</v>
      </c>
      <c r="D15" s="12">
        <f>D12+D13+D14</f>
        <v>70000</v>
      </c>
      <c r="E15" s="12">
        <f>E12+E13+E14</f>
        <v>68000</v>
      </c>
      <c r="F15" s="13"/>
    </row>
    <row r="17" spans="2:7" x14ac:dyDescent="0.25">
      <c r="B17" s="50" t="s">
        <v>25</v>
      </c>
      <c r="C17" s="50"/>
      <c r="D17" s="50"/>
      <c r="E17" s="50"/>
      <c r="F17" s="50"/>
    </row>
    <row r="18" spans="2:7" x14ac:dyDescent="0.25">
      <c r="B18" s="7" t="s">
        <v>26</v>
      </c>
      <c r="C18" s="10">
        <v>0.09</v>
      </c>
      <c r="D18" s="10">
        <v>0.1</v>
      </c>
      <c r="E18" s="10">
        <v>0.11</v>
      </c>
      <c r="F18" s="9" t="s">
        <v>27</v>
      </c>
      <c r="G18" s="1" t="s">
        <v>28</v>
      </c>
    </row>
    <row r="19" spans="2:7" x14ac:dyDescent="0.25">
      <c r="B19" s="14" t="s">
        <v>29</v>
      </c>
      <c r="C19" s="15">
        <f>IFERROR(1/C18,0)</f>
        <v>11.111111111111111</v>
      </c>
      <c r="D19" s="15">
        <f>IFERROR(1/D18,0)</f>
        <v>10</v>
      </c>
      <c r="E19" s="15">
        <f>IFERROR(1/E18,0)</f>
        <v>9.0909090909090917</v>
      </c>
      <c r="F19" s="16"/>
    </row>
    <row r="21" spans="2:7" x14ac:dyDescent="0.25">
      <c r="B21" s="50" t="s">
        <v>30</v>
      </c>
      <c r="C21" s="50"/>
      <c r="D21" s="50"/>
      <c r="E21" s="50"/>
      <c r="F21" s="50"/>
    </row>
    <row r="22" spans="2:7" x14ac:dyDescent="0.25">
      <c r="B22" s="7" t="s">
        <v>31</v>
      </c>
      <c r="C22" s="8">
        <v>40000</v>
      </c>
      <c r="D22" s="8">
        <v>40000</v>
      </c>
      <c r="E22" s="8">
        <v>20000</v>
      </c>
      <c r="F22" s="9" t="s">
        <v>9</v>
      </c>
      <c r="G22" s="1" t="s">
        <v>32</v>
      </c>
    </row>
    <row r="24" spans="2:7" x14ac:dyDescent="0.25">
      <c r="B24" s="50" t="s">
        <v>33</v>
      </c>
      <c r="C24" s="50"/>
      <c r="D24" s="50"/>
      <c r="E24" s="50"/>
      <c r="F24" s="50"/>
    </row>
    <row r="25" spans="2:7" x14ac:dyDescent="0.25">
      <c r="B25" s="7" t="s">
        <v>34</v>
      </c>
      <c r="C25" s="8">
        <v>300000000</v>
      </c>
      <c r="D25" s="8">
        <v>300000000</v>
      </c>
      <c r="E25" s="8">
        <v>150000000</v>
      </c>
      <c r="F25" s="9" t="s">
        <v>35</v>
      </c>
      <c r="G25" s="1" t="s">
        <v>36</v>
      </c>
    </row>
    <row r="26" spans="2:7" x14ac:dyDescent="0.25">
      <c r="B26" s="7" t="s">
        <v>37</v>
      </c>
      <c r="C26" s="8">
        <v>30000000</v>
      </c>
      <c r="D26" s="8">
        <v>30000000</v>
      </c>
      <c r="E26" s="8">
        <v>15000000</v>
      </c>
      <c r="F26" s="9" t="s">
        <v>35</v>
      </c>
    </row>
    <row r="27" spans="2:7" x14ac:dyDescent="0.25">
      <c r="B27" s="7" t="s">
        <v>38</v>
      </c>
      <c r="C27" s="8">
        <v>50000000</v>
      </c>
      <c r="D27" s="8">
        <v>50000000</v>
      </c>
      <c r="E27" s="8">
        <v>30000000</v>
      </c>
      <c r="F27" s="9" t="s">
        <v>35</v>
      </c>
    </row>
    <row r="28" spans="2:7" x14ac:dyDescent="0.25">
      <c r="B28" s="14" t="s">
        <v>39</v>
      </c>
      <c r="C28" s="17">
        <f>SUM(C25:C27)</f>
        <v>380000000</v>
      </c>
      <c r="D28" s="17">
        <f>SUM(D25:D27)</f>
        <v>380000000</v>
      </c>
      <c r="E28" s="17">
        <f>SUM(E25:E27)</f>
        <v>195000000</v>
      </c>
      <c r="F28" s="16"/>
    </row>
    <row r="30" spans="2:7" x14ac:dyDescent="0.25">
      <c r="B30" s="50" t="s">
        <v>40</v>
      </c>
      <c r="C30" s="50"/>
      <c r="D30" s="50"/>
      <c r="E30" s="50"/>
      <c r="F30" s="50"/>
    </row>
    <row r="31" spans="2:7" x14ac:dyDescent="0.25">
      <c r="B31" s="7" t="s">
        <v>41</v>
      </c>
      <c r="C31" s="8">
        <v>400000000</v>
      </c>
      <c r="D31" s="8">
        <v>400000000</v>
      </c>
      <c r="E31" s="8">
        <v>300000000</v>
      </c>
      <c r="F31" s="9" t="s">
        <v>9</v>
      </c>
      <c r="G31" s="1" t="s">
        <v>42</v>
      </c>
    </row>
    <row r="32" spans="2:7" x14ac:dyDescent="0.25">
      <c r="B32" s="7" t="s">
        <v>43</v>
      </c>
      <c r="C32" s="8">
        <v>1500000000</v>
      </c>
      <c r="D32" s="8">
        <v>1700000000</v>
      </c>
      <c r="E32" s="8">
        <v>1700000000</v>
      </c>
      <c r="F32" s="9" t="s">
        <v>9</v>
      </c>
      <c r="G32" s="1" t="s">
        <v>44</v>
      </c>
    </row>
    <row r="34" spans="2:7" x14ac:dyDescent="0.25">
      <c r="B34" s="50" t="s">
        <v>45</v>
      </c>
      <c r="C34" s="50"/>
      <c r="D34" s="50"/>
      <c r="E34" s="50"/>
      <c r="F34" s="50"/>
    </row>
    <row r="35" spans="2:7" x14ac:dyDescent="0.25">
      <c r="B35" s="7" t="s">
        <v>46</v>
      </c>
      <c r="C35" s="10">
        <v>0.2</v>
      </c>
      <c r="D35" s="10">
        <v>0.2</v>
      </c>
      <c r="E35" s="10">
        <v>0.2</v>
      </c>
      <c r="F35" s="9" t="s">
        <v>47</v>
      </c>
      <c r="G35" s="1" t="s">
        <v>48</v>
      </c>
    </row>
    <row r="36" spans="2:7" x14ac:dyDescent="0.25">
      <c r="B36" s="14" t="s">
        <v>49</v>
      </c>
      <c r="C36" s="18">
        <f>(1+C35)^(1/12)-1</f>
        <v>1.5309470499731193E-2</v>
      </c>
      <c r="D36" s="18">
        <f>(1+D35)^(1/12)-1</f>
        <v>1.5309470499731193E-2</v>
      </c>
      <c r="E36" s="18">
        <f>(1+E35)^(1/12)-1</f>
        <v>1.5309470499731193E-2</v>
      </c>
      <c r="F36" s="16"/>
    </row>
    <row r="38" spans="2:7" x14ac:dyDescent="0.25">
      <c r="B38" s="50" t="s">
        <v>50</v>
      </c>
      <c r="C38" s="50"/>
      <c r="D38" s="50"/>
      <c r="E38" s="50"/>
      <c r="F38" s="50"/>
    </row>
    <row r="39" spans="2:7" ht="24.75" customHeight="1" x14ac:dyDescent="0.25">
      <c r="B39" s="54" t="s">
        <v>136</v>
      </c>
      <c r="C39" s="49"/>
      <c r="D39" s="49"/>
      <c r="E39" s="49"/>
      <c r="F39" s="49"/>
    </row>
    <row r="40" spans="2:7" ht="24.75" customHeight="1" x14ac:dyDescent="0.25">
      <c r="B40" s="49"/>
      <c r="C40" s="49"/>
      <c r="D40" s="49"/>
      <c r="E40" s="49"/>
      <c r="F40" s="49"/>
    </row>
    <row r="41" spans="2:7" ht="24.75" customHeight="1" x14ac:dyDescent="0.25">
      <c r="B41" s="49"/>
      <c r="C41" s="49"/>
      <c r="D41" s="49"/>
      <c r="E41" s="49"/>
      <c r="F41" s="49"/>
    </row>
  </sheetData>
  <mergeCells count="11">
    <mergeCell ref="B2:F2"/>
    <mergeCell ref="B3:G3"/>
    <mergeCell ref="B5:F5"/>
    <mergeCell ref="B11:F11"/>
    <mergeCell ref="B17:F17"/>
    <mergeCell ref="B39:F41"/>
    <mergeCell ref="B21:F21"/>
    <mergeCell ref="B24:F24"/>
    <mergeCell ref="B30:F30"/>
    <mergeCell ref="B34:F34"/>
    <mergeCell ref="B38:F3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topLeftCell="A18" zoomScale="90" zoomScaleNormal="100" workbookViewId="0">
      <selection activeCell="C4" sqref="C4"/>
    </sheetView>
  </sheetViews>
  <sheetFormatPr defaultColWidth="8.7109375" defaultRowHeight="15" x14ac:dyDescent="0.25"/>
  <cols>
    <col min="1" max="1" width="3" customWidth="1"/>
    <col min="2" max="2" width="36" customWidth="1"/>
    <col min="3" max="3" width="26.42578125" bestFit="1" customWidth="1"/>
    <col min="4" max="4" width="16" bestFit="1" customWidth="1"/>
    <col min="5" max="7" width="13.5703125" bestFit="1" customWidth="1"/>
    <col min="8" max="14" width="14.85546875" bestFit="1" customWidth="1"/>
    <col min="15" max="26" width="13.5703125" bestFit="1" customWidth="1"/>
    <col min="27" max="27" width="16" customWidth="1"/>
  </cols>
  <sheetData>
    <row r="2" spans="2:8" ht="30" customHeight="1" x14ac:dyDescent="0.25">
      <c r="B2" s="51" t="s">
        <v>76</v>
      </c>
      <c r="C2" s="51"/>
      <c r="D2" s="51"/>
      <c r="E2" s="51"/>
      <c r="F2" s="51"/>
      <c r="G2" s="51"/>
      <c r="H2" s="51"/>
    </row>
    <row r="4" spans="2:8" ht="15" customHeight="1" x14ac:dyDescent="0.25">
      <c r="B4" s="23" t="s">
        <v>77</v>
      </c>
      <c r="C4" s="24" t="s">
        <v>5</v>
      </c>
      <c r="D4" s="52" t="s">
        <v>78</v>
      </c>
      <c r="E4" s="52"/>
      <c r="F4" s="52"/>
      <c r="G4" s="52"/>
      <c r="H4" s="52"/>
    </row>
    <row r="6" spans="2:8" x14ac:dyDescent="0.25">
      <c r="B6" s="25" t="s">
        <v>79</v>
      </c>
      <c r="C6" s="25">
        <f>MATCH(C4,{"Optimistic","Base","Pessimistic"},0)</f>
        <v>3</v>
      </c>
    </row>
    <row r="7" spans="2:8" x14ac:dyDescent="0.25">
      <c r="B7" s="26" t="s">
        <v>80</v>
      </c>
    </row>
    <row r="8" spans="2:8" x14ac:dyDescent="0.25">
      <c r="B8" s="27" t="s">
        <v>81</v>
      </c>
      <c r="C8" s="28">
        <f>CHOOSE($C$6,'1. Assumptions'!C7,'1. Assumptions'!D7,'1. Assumptions'!E7)</f>
        <v>130000</v>
      </c>
    </row>
    <row r="9" spans="2:8" x14ac:dyDescent="0.25">
      <c r="B9" s="27" t="s">
        <v>82</v>
      </c>
      <c r="C9" s="29">
        <f>CHOOSE($C$6,'1. Assumptions'!C8,'1. Assumptions'!D8,'1. Assumptions'!E8)</f>
        <v>1.2E-2</v>
      </c>
    </row>
    <row r="10" spans="2:8" x14ac:dyDescent="0.25">
      <c r="B10" s="27" t="s">
        <v>83</v>
      </c>
      <c r="C10" s="28">
        <f>CHOOSE($C$6,'1. Assumptions'!C9,'1. Assumptions'!D9,'1. Assumptions'!E9)</f>
        <v>50000</v>
      </c>
    </row>
    <row r="11" spans="2:8" x14ac:dyDescent="0.25">
      <c r="B11" s="27" t="s">
        <v>84</v>
      </c>
      <c r="C11" s="28">
        <f>CHOOSE($C$6,'1. Assumptions'!C15,'1. Assumptions'!D15,'1. Assumptions'!E15)</f>
        <v>68000</v>
      </c>
    </row>
    <row r="12" spans="2:8" x14ac:dyDescent="0.25">
      <c r="B12" s="27" t="s">
        <v>85</v>
      </c>
      <c r="C12" s="29">
        <f>CHOOSE($C$6,'1. Assumptions'!C18,'1. Assumptions'!D18,'1. Assumptions'!E18)</f>
        <v>0.11</v>
      </c>
    </row>
    <row r="13" spans="2:8" x14ac:dyDescent="0.25">
      <c r="B13" s="27" t="s">
        <v>86</v>
      </c>
      <c r="C13" s="28">
        <f>CHOOSE($C$6,'1. Assumptions'!C22,'1. Assumptions'!D22,'1. Assumptions'!E22)</f>
        <v>20000</v>
      </c>
    </row>
    <row r="14" spans="2:8" x14ac:dyDescent="0.25">
      <c r="B14" s="27" t="s">
        <v>87</v>
      </c>
      <c r="C14" s="28">
        <f>CHOOSE($C$6,'1. Assumptions'!C28,'1. Assumptions'!D28,'1. Assumptions'!E28)</f>
        <v>195000000</v>
      </c>
    </row>
    <row r="15" spans="2:8" x14ac:dyDescent="0.25">
      <c r="B15" s="27" t="s">
        <v>88</v>
      </c>
      <c r="C15" s="28">
        <f>CHOOSE($C$6,'1. Assumptions'!C31,'1. Assumptions'!D31,'1. Assumptions'!E31)</f>
        <v>300000000</v>
      </c>
    </row>
    <row r="16" spans="2:8" x14ac:dyDescent="0.25">
      <c r="B16" s="27" t="s">
        <v>89</v>
      </c>
      <c r="C16" s="28">
        <f>CHOOSE($C$6,'1. Assumptions'!C32,'1. Assumptions'!D32,'1. Assumptions'!E32)</f>
        <v>1700000000</v>
      </c>
    </row>
    <row r="17" spans="2:27" x14ac:dyDescent="0.25">
      <c r="B17" s="27" t="s">
        <v>90</v>
      </c>
      <c r="C17" s="29">
        <f>CHOOSE($C$6,'1. Assumptions'!C36,'1. Assumptions'!D36,'1. Assumptions'!E36)</f>
        <v>1.5309470499731193E-2</v>
      </c>
    </row>
    <row r="20" spans="2:27" x14ac:dyDescent="0.25">
      <c r="B20" s="50" t="s">
        <v>91</v>
      </c>
      <c r="C20" s="50"/>
      <c r="D20" s="50"/>
      <c r="E20" s="50"/>
      <c r="F20" s="50"/>
      <c r="G20" s="50"/>
      <c r="H20" s="50"/>
      <c r="I20" s="50"/>
      <c r="J20" s="50"/>
      <c r="K20" s="50"/>
      <c r="L20" s="50"/>
      <c r="M20" s="50"/>
      <c r="N20" s="50"/>
      <c r="O20" s="50"/>
      <c r="P20" s="50"/>
      <c r="Q20" s="50"/>
      <c r="R20" s="50"/>
      <c r="S20" s="50"/>
      <c r="T20" s="50"/>
      <c r="U20" s="50"/>
      <c r="V20" s="50"/>
      <c r="W20" s="50"/>
      <c r="X20" s="50"/>
      <c r="Y20" s="50"/>
      <c r="Z20" s="50"/>
      <c r="AA20" s="50"/>
    </row>
    <row r="21" spans="2:27" x14ac:dyDescent="0.25">
      <c r="B21" s="30" t="s">
        <v>92</v>
      </c>
      <c r="C21" s="31" t="s">
        <v>93</v>
      </c>
      <c r="D21" s="31" t="s">
        <v>94</v>
      </c>
      <c r="E21" s="31" t="s">
        <v>95</v>
      </c>
      <c r="F21" s="31" t="s">
        <v>96</v>
      </c>
      <c r="G21" s="31" t="s">
        <v>97</v>
      </c>
      <c r="H21" s="31" t="s">
        <v>98</v>
      </c>
      <c r="I21" s="31" t="s">
        <v>99</v>
      </c>
      <c r="J21" s="31" t="s">
        <v>100</v>
      </c>
      <c r="K21" s="31" t="s">
        <v>101</v>
      </c>
      <c r="L21" s="31" t="s">
        <v>102</v>
      </c>
      <c r="M21" s="31" t="s">
        <v>103</v>
      </c>
      <c r="N21" s="31" t="s">
        <v>104</v>
      </c>
      <c r="O21" s="31" t="s">
        <v>105</v>
      </c>
      <c r="P21" s="31" t="s">
        <v>106</v>
      </c>
      <c r="Q21" s="31" t="s">
        <v>107</v>
      </c>
      <c r="R21" s="31" t="s">
        <v>108</v>
      </c>
      <c r="S21" s="31" t="s">
        <v>109</v>
      </c>
      <c r="T21" s="31" t="s">
        <v>110</v>
      </c>
      <c r="U21" s="31" t="s">
        <v>111</v>
      </c>
      <c r="V21" s="31" t="s">
        <v>112</v>
      </c>
      <c r="W21" s="31" t="s">
        <v>113</v>
      </c>
      <c r="X21" s="31" t="s">
        <v>114</v>
      </c>
      <c r="Y21" s="31" t="s">
        <v>115</v>
      </c>
      <c r="Z21" s="31" t="s">
        <v>116</v>
      </c>
      <c r="AA21" s="32" t="s">
        <v>117</v>
      </c>
    </row>
    <row r="22" spans="2:27" x14ac:dyDescent="0.25">
      <c r="B22" s="7" t="s">
        <v>118</v>
      </c>
      <c r="C22" s="33">
        <f t="shared" ref="C22:Z22" si="0">ROUND($C$10*$C$9,0)</f>
        <v>600</v>
      </c>
      <c r="D22" s="33">
        <f t="shared" si="0"/>
        <v>600</v>
      </c>
      <c r="E22" s="33">
        <f t="shared" si="0"/>
        <v>600</v>
      </c>
      <c r="F22" s="33">
        <f t="shared" si="0"/>
        <v>600</v>
      </c>
      <c r="G22" s="33">
        <f t="shared" si="0"/>
        <v>600</v>
      </c>
      <c r="H22" s="33">
        <f t="shared" si="0"/>
        <v>600</v>
      </c>
      <c r="I22" s="33">
        <f t="shared" si="0"/>
        <v>600</v>
      </c>
      <c r="J22" s="33">
        <f t="shared" si="0"/>
        <v>600</v>
      </c>
      <c r="K22" s="33">
        <f t="shared" si="0"/>
        <v>600</v>
      </c>
      <c r="L22" s="33">
        <f t="shared" si="0"/>
        <v>600</v>
      </c>
      <c r="M22" s="33">
        <f t="shared" si="0"/>
        <v>600</v>
      </c>
      <c r="N22" s="33">
        <f t="shared" si="0"/>
        <v>600</v>
      </c>
      <c r="O22" s="33">
        <f t="shared" si="0"/>
        <v>600</v>
      </c>
      <c r="P22" s="33">
        <f t="shared" si="0"/>
        <v>600</v>
      </c>
      <c r="Q22" s="33">
        <f t="shared" si="0"/>
        <v>600</v>
      </c>
      <c r="R22" s="33">
        <f t="shared" si="0"/>
        <v>600</v>
      </c>
      <c r="S22" s="33">
        <f t="shared" si="0"/>
        <v>600</v>
      </c>
      <c r="T22" s="33">
        <f t="shared" si="0"/>
        <v>600</v>
      </c>
      <c r="U22" s="33">
        <f t="shared" si="0"/>
        <v>600</v>
      </c>
      <c r="V22" s="33">
        <f t="shared" si="0"/>
        <v>600</v>
      </c>
      <c r="W22" s="33">
        <f t="shared" si="0"/>
        <v>600</v>
      </c>
      <c r="X22" s="33">
        <f t="shared" si="0"/>
        <v>600</v>
      </c>
      <c r="Y22" s="33">
        <f t="shared" si="0"/>
        <v>600</v>
      </c>
      <c r="Z22" s="33">
        <f t="shared" si="0"/>
        <v>600</v>
      </c>
      <c r="AA22" s="34">
        <f>SUM(C22:Z22)</f>
        <v>14400</v>
      </c>
    </row>
    <row r="23" spans="2:27" x14ac:dyDescent="0.25">
      <c r="B23" s="7" t="s">
        <v>119</v>
      </c>
      <c r="C23" s="33">
        <f>C22</f>
        <v>600</v>
      </c>
      <c r="D23" s="33">
        <f t="shared" ref="D23:Z23" si="1">C23*(1-$C$12)+D22</f>
        <v>1134</v>
      </c>
      <c r="E23" s="33">
        <f t="shared" si="1"/>
        <v>1609.26</v>
      </c>
      <c r="F23" s="33">
        <f t="shared" si="1"/>
        <v>2032.2414000000001</v>
      </c>
      <c r="G23" s="33">
        <f t="shared" si="1"/>
        <v>2408.6948460000003</v>
      </c>
      <c r="H23" s="33">
        <f t="shared" si="1"/>
        <v>2743.7384129400002</v>
      </c>
      <c r="I23" s="33">
        <f t="shared" si="1"/>
        <v>3041.9271875166</v>
      </c>
      <c r="J23" s="33">
        <f t="shared" si="1"/>
        <v>3307.3151968897741</v>
      </c>
      <c r="K23" s="33">
        <f t="shared" si="1"/>
        <v>3543.510525231899</v>
      </c>
      <c r="L23" s="33">
        <f t="shared" si="1"/>
        <v>3753.7243674563902</v>
      </c>
      <c r="M23" s="33">
        <f t="shared" si="1"/>
        <v>3940.8146870361875</v>
      </c>
      <c r="N23" s="33">
        <f t="shared" si="1"/>
        <v>4107.3250714622063</v>
      </c>
      <c r="O23" s="33">
        <f t="shared" si="1"/>
        <v>4255.519313601364</v>
      </c>
      <c r="P23" s="33">
        <f t="shared" si="1"/>
        <v>4387.4121891052146</v>
      </c>
      <c r="Q23" s="33">
        <f t="shared" si="1"/>
        <v>4504.7968483036411</v>
      </c>
      <c r="R23" s="33">
        <f t="shared" si="1"/>
        <v>4609.2691949902401</v>
      </c>
      <c r="S23" s="33">
        <f t="shared" si="1"/>
        <v>4702.2495835413138</v>
      </c>
      <c r="T23" s="33">
        <f t="shared" si="1"/>
        <v>4785.0021293517693</v>
      </c>
      <c r="U23" s="33">
        <f t="shared" si="1"/>
        <v>4858.6518951230746</v>
      </c>
      <c r="V23" s="33">
        <f t="shared" si="1"/>
        <v>4924.2001866595365</v>
      </c>
      <c r="W23" s="33">
        <f t="shared" si="1"/>
        <v>4982.5381661269876</v>
      </c>
      <c r="X23" s="33">
        <f t="shared" si="1"/>
        <v>5034.4589678530192</v>
      </c>
      <c r="Y23" s="33">
        <f t="shared" si="1"/>
        <v>5080.668481389187</v>
      </c>
      <c r="Z23" s="33">
        <f t="shared" si="1"/>
        <v>5121.7949484363762</v>
      </c>
    </row>
    <row r="25" spans="2:27" x14ac:dyDescent="0.25">
      <c r="B25" s="35" t="s">
        <v>120</v>
      </c>
      <c r="C25" s="36">
        <f>C23*$C$8</f>
        <v>78000000</v>
      </c>
      <c r="D25" s="36">
        <f t="shared" ref="D25:Z25" si="2">D23*$C$8</f>
        <v>147420000</v>
      </c>
      <c r="E25" s="36">
        <f t="shared" si="2"/>
        <v>209203800</v>
      </c>
      <c r="F25" s="36">
        <f t="shared" si="2"/>
        <v>264191382</v>
      </c>
      <c r="G25" s="36">
        <f t="shared" si="2"/>
        <v>313130329.98000002</v>
      </c>
      <c r="H25" s="36">
        <f t="shared" si="2"/>
        <v>356685993.68220001</v>
      </c>
      <c r="I25" s="36">
        <f t="shared" si="2"/>
        <v>395450534.37715799</v>
      </c>
      <c r="J25" s="36">
        <f t="shared" si="2"/>
        <v>429950975.59567064</v>
      </c>
      <c r="K25" s="36">
        <f t="shared" si="2"/>
        <v>460656368.2801469</v>
      </c>
      <c r="L25" s="36">
        <f t="shared" si="2"/>
        <v>487984167.76933074</v>
      </c>
      <c r="M25" s="36">
        <f t="shared" si="2"/>
        <v>512305909.31470436</v>
      </c>
      <c r="N25" s="36">
        <f t="shared" si="2"/>
        <v>533952259.29008681</v>
      </c>
      <c r="O25" s="36">
        <f t="shared" si="2"/>
        <v>553217510.76817727</v>
      </c>
      <c r="P25" s="36">
        <f t="shared" si="2"/>
        <v>570363584.58367789</v>
      </c>
      <c r="Q25" s="36">
        <f t="shared" si="2"/>
        <v>585623590.2794733</v>
      </c>
      <c r="R25" s="36">
        <f t="shared" si="2"/>
        <v>599204995.34873116</v>
      </c>
      <c r="S25" s="36">
        <f t="shared" si="2"/>
        <v>611292445.86037076</v>
      </c>
      <c r="T25" s="36">
        <f t="shared" si="2"/>
        <v>622050276.81572998</v>
      </c>
      <c r="U25" s="36">
        <f t="shared" si="2"/>
        <v>631624746.3659997</v>
      </c>
      <c r="V25" s="36">
        <f t="shared" si="2"/>
        <v>640146024.2657398</v>
      </c>
      <c r="W25" s="36">
        <f t="shared" si="2"/>
        <v>647729961.59650838</v>
      </c>
      <c r="X25" s="36">
        <f t="shared" si="2"/>
        <v>654479665.82089245</v>
      </c>
      <c r="Y25" s="36">
        <f t="shared" si="2"/>
        <v>660486902.5805943</v>
      </c>
      <c r="Z25" s="36">
        <f t="shared" si="2"/>
        <v>665833343.29672885</v>
      </c>
      <c r="AA25" s="37">
        <f t="shared" ref="AA25:AA30" si="3">SUM(C25:Z25)</f>
        <v>11630984767.871922</v>
      </c>
    </row>
    <row r="26" spans="2:27" x14ac:dyDescent="0.25">
      <c r="B26" s="7" t="s">
        <v>121</v>
      </c>
      <c r="C26" s="33">
        <f t="shared" ref="C26:Z26" si="4">C23*$C$11</f>
        <v>40800000</v>
      </c>
      <c r="D26" s="33">
        <f t="shared" si="4"/>
        <v>77112000</v>
      </c>
      <c r="E26" s="33">
        <f t="shared" si="4"/>
        <v>109429680</v>
      </c>
      <c r="F26" s="33">
        <f t="shared" si="4"/>
        <v>138192415.20000002</v>
      </c>
      <c r="G26" s="33">
        <f t="shared" si="4"/>
        <v>163791249.52800003</v>
      </c>
      <c r="H26" s="33">
        <f t="shared" si="4"/>
        <v>186574212.07992002</v>
      </c>
      <c r="I26" s="33">
        <f t="shared" si="4"/>
        <v>206851048.75112879</v>
      </c>
      <c r="J26" s="33">
        <f t="shared" si="4"/>
        <v>224897433.38850465</v>
      </c>
      <c r="K26" s="33">
        <f t="shared" si="4"/>
        <v>240958715.71576914</v>
      </c>
      <c r="L26" s="33">
        <f t="shared" si="4"/>
        <v>255253256.98703453</v>
      </c>
      <c r="M26" s="33">
        <f t="shared" si="4"/>
        <v>267975398.71846074</v>
      </c>
      <c r="N26" s="33">
        <f t="shared" si="4"/>
        <v>279298104.85943002</v>
      </c>
      <c r="O26" s="33">
        <f t="shared" si="4"/>
        <v>289375313.32489276</v>
      </c>
      <c r="P26" s="33">
        <f t="shared" si="4"/>
        <v>298344028.85915458</v>
      </c>
      <c r="Q26" s="33">
        <f t="shared" si="4"/>
        <v>306326185.68464762</v>
      </c>
      <c r="R26" s="33">
        <f t="shared" si="4"/>
        <v>313430305.25933635</v>
      </c>
      <c r="S26" s="33">
        <f t="shared" si="4"/>
        <v>319752971.68080932</v>
      </c>
      <c r="T26" s="33">
        <f t="shared" si="4"/>
        <v>325380144.79592031</v>
      </c>
      <c r="U26" s="33">
        <f t="shared" si="4"/>
        <v>330388328.8683691</v>
      </c>
      <c r="V26" s="33">
        <f t="shared" si="4"/>
        <v>334845612.6928485</v>
      </c>
      <c r="W26" s="33">
        <f t="shared" si="4"/>
        <v>338812595.29663515</v>
      </c>
      <c r="X26" s="33">
        <f t="shared" si="4"/>
        <v>342343209.81400532</v>
      </c>
      <c r="Y26" s="33">
        <f t="shared" si="4"/>
        <v>345485456.7344647</v>
      </c>
      <c r="Z26" s="33">
        <f t="shared" si="4"/>
        <v>348282056.49367356</v>
      </c>
      <c r="AA26" s="34">
        <f t="shared" si="3"/>
        <v>6083899724.7330036</v>
      </c>
    </row>
    <row r="27" spans="2:27" x14ac:dyDescent="0.25">
      <c r="B27" s="6" t="s">
        <v>122</v>
      </c>
      <c r="C27" s="38">
        <f t="shared" ref="C27:Z27" si="5">C25-C26</f>
        <v>37200000</v>
      </c>
      <c r="D27" s="38">
        <f t="shared" si="5"/>
        <v>70308000</v>
      </c>
      <c r="E27" s="38">
        <f t="shared" si="5"/>
        <v>99774120</v>
      </c>
      <c r="F27" s="38">
        <f t="shared" si="5"/>
        <v>125998966.79999998</v>
      </c>
      <c r="G27" s="38">
        <f t="shared" si="5"/>
        <v>149339080.45199999</v>
      </c>
      <c r="H27" s="38">
        <f t="shared" si="5"/>
        <v>170111781.60227999</v>
      </c>
      <c r="I27" s="38">
        <f t="shared" si="5"/>
        <v>188599485.62602919</v>
      </c>
      <c r="J27" s="38">
        <f t="shared" si="5"/>
        <v>205053542.20716599</v>
      </c>
      <c r="K27" s="38">
        <f t="shared" si="5"/>
        <v>219697652.56437775</v>
      </c>
      <c r="L27" s="38">
        <f t="shared" si="5"/>
        <v>232730910.78229621</v>
      </c>
      <c r="M27" s="38">
        <f t="shared" si="5"/>
        <v>244330510.59624362</v>
      </c>
      <c r="N27" s="38">
        <f t="shared" si="5"/>
        <v>254654154.43065679</v>
      </c>
      <c r="O27" s="38">
        <f t="shared" si="5"/>
        <v>263842197.44328451</v>
      </c>
      <c r="P27" s="38">
        <f t="shared" si="5"/>
        <v>272019555.72452331</v>
      </c>
      <c r="Q27" s="38">
        <f t="shared" si="5"/>
        <v>279297404.59482569</v>
      </c>
      <c r="R27" s="38">
        <f t="shared" si="5"/>
        <v>285774690.08939481</v>
      </c>
      <c r="S27" s="38">
        <f t="shared" si="5"/>
        <v>291539474.17956144</v>
      </c>
      <c r="T27" s="38">
        <f t="shared" si="5"/>
        <v>296670132.01980966</v>
      </c>
      <c r="U27" s="38">
        <f t="shared" si="5"/>
        <v>301236417.4976306</v>
      </c>
      <c r="V27" s="38">
        <f t="shared" si="5"/>
        <v>305300411.57289129</v>
      </c>
      <c r="W27" s="38">
        <f t="shared" si="5"/>
        <v>308917366.29987323</v>
      </c>
      <c r="X27" s="38">
        <f t="shared" si="5"/>
        <v>312136456.00688714</v>
      </c>
      <c r="Y27" s="38">
        <f t="shared" si="5"/>
        <v>315001445.8461296</v>
      </c>
      <c r="Z27" s="38">
        <f t="shared" si="5"/>
        <v>317551286.80305529</v>
      </c>
      <c r="AA27" s="34">
        <f t="shared" si="3"/>
        <v>5547085043.138916</v>
      </c>
    </row>
    <row r="28" spans="2:27" x14ac:dyDescent="0.25">
      <c r="B28" s="7" t="s">
        <v>123</v>
      </c>
      <c r="C28" s="33">
        <f t="shared" ref="C28:Z28" si="6">C22*$C$13</f>
        <v>12000000</v>
      </c>
      <c r="D28" s="33">
        <f t="shared" si="6"/>
        <v>12000000</v>
      </c>
      <c r="E28" s="33">
        <f t="shared" si="6"/>
        <v>12000000</v>
      </c>
      <c r="F28" s="33">
        <f t="shared" si="6"/>
        <v>12000000</v>
      </c>
      <c r="G28" s="33">
        <f t="shared" si="6"/>
        <v>12000000</v>
      </c>
      <c r="H28" s="33">
        <f t="shared" si="6"/>
        <v>12000000</v>
      </c>
      <c r="I28" s="33">
        <f t="shared" si="6"/>
        <v>12000000</v>
      </c>
      <c r="J28" s="33">
        <f t="shared" si="6"/>
        <v>12000000</v>
      </c>
      <c r="K28" s="33">
        <f t="shared" si="6"/>
        <v>12000000</v>
      </c>
      <c r="L28" s="33">
        <f t="shared" si="6"/>
        <v>12000000</v>
      </c>
      <c r="M28" s="33">
        <f t="shared" si="6"/>
        <v>12000000</v>
      </c>
      <c r="N28" s="33">
        <f t="shared" si="6"/>
        <v>12000000</v>
      </c>
      <c r="O28" s="33">
        <f t="shared" si="6"/>
        <v>12000000</v>
      </c>
      <c r="P28" s="33">
        <f t="shared" si="6"/>
        <v>12000000</v>
      </c>
      <c r="Q28" s="33">
        <f t="shared" si="6"/>
        <v>12000000</v>
      </c>
      <c r="R28" s="33">
        <f t="shared" si="6"/>
        <v>12000000</v>
      </c>
      <c r="S28" s="33">
        <f t="shared" si="6"/>
        <v>12000000</v>
      </c>
      <c r="T28" s="33">
        <f t="shared" si="6"/>
        <v>12000000</v>
      </c>
      <c r="U28" s="33">
        <f t="shared" si="6"/>
        <v>12000000</v>
      </c>
      <c r="V28" s="33">
        <f t="shared" si="6"/>
        <v>12000000</v>
      </c>
      <c r="W28" s="33">
        <f t="shared" si="6"/>
        <v>12000000</v>
      </c>
      <c r="X28" s="33">
        <f t="shared" si="6"/>
        <v>12000000</v>
      </c>
      <c r="Y28" s="33">
        <f t="shared" si="6"/>
        <v>12000000</v>
      </c>
      <c r="Z28" s="33">
        <f t="shared" si="6"/>
        <v>12000000</v>
      </c>
      <c r="AA28" s="34">
        <f t="shared" si="3"/>
        <v>288000000</v>
      </c>
    </row>
    <row r="29" spans="2:27" x14ac:dyDescent="0.25">
      <c r="B29" s="7" t="s">
        <v>124</v>
      </c>
      <c r="C29" s="33">
        <f t="shared" ref="C29:Z29" si="7">$C$14</f>
        <v>195000000</v>
      </c>
      <c r="D29" s="33">
        <f t="shared" si="7"/>
        <v>195000000</v>
      </c>
      <c r="E29" s="33">
        <f t="shared" si="7"/>
        <v>195000000</v>
      </c>
      <c r="F29" s="33">
        <f t="shared" si="7"/>
        <v>195000000</v>
      </c>
      <c r="G29" s="33">
        <f t="shared" si="7"/>
        <v>195000000</v>
      </c>
      <c r="H29" s="33">
        <f t="shared" si="7"/>
        <v>195000000</v>
      </c>
      <c r="I29" s="33">
        <f t="shared" si="7"/>
        <v>195000000</v>
      </c>
      <c r="J29" s="33">
        <f t="shared" si="7"/>
        <v>195000000</v>
      </c>
      <c r="K29" s="33">
        <f t="shared" si="7"/>
        <v>195000000</v>
      </c>
      <c r="L29" s="33">
        <f t="shared" si="7"/>
        <v>195000000</v>
      </c>
      <c r="M29" s="33">
        <f t="shared" si="7"/>
        <v>195000000</v>
      </c>
      <c r="N29" s="33">
        <f t="shared" si="7"/>
        <v>195000000</v>
      </c>
      <c r="O29" s="33">
        <f t="shared" si="7"/>
        <v>195000000</v>
      </c>
      <c r="P29" s="33">
        <f t="shared" si="7"/>
        <v>195000000</v>
      </c>
      <c r="Q29" s="33">
        <f t="shared" si="7"/>
        <v>195000000</v>
      </c>
      <c r="R29" s="33">
        <f t="shared" si="7"/>
        <v>195000000</v>
      </c>
      <c r="S29" s="33">
        <f t="shared" si="7"/>
        <v>195000000</v>
      </c>
      <c r="T29" s="33">
        <f t="shared" si="7"/>
        <v>195000000</v>
      </c>
      <c r="U29" s="33">
        <f t="shared" si="7"/>
        <v>195000000</v>
      </c>
      <c r="V29" s="33">
        <f t="shared" si="7"/>
        <v>195000000</v>
      </c>
      <c r="W29" s="33">
        <f t="shared" si="7"/>
        <v>195000000</v>
      </c>
      <c r="X29" s="33">
        <f t="shared" si="7"/>
        <v>195000000</v>
      </c>
      <c r="Y29" s="33">
        <f t="shared" si="7"/>
        <v>195000000</v>
      </c>
      <c r="Z29" s="33">
        <f t="shared" si="7"/>
        <v>195000000</v>
      </c>
      <c r="AA29" s="34">
        <f t="shared" si="3"/>
        <v>4680000000</v>
      </c>
    </row>
    <row r="30" spans="2:27" x14ac:dyDescent="0.25">
      <c r="B30" s="14" t="s">
        <v>125</v>
      </c>
      <c r="C30" s="39">
        <f t="shared" ref="C30:Z30" si="8">C27-C28-C29</f>
        <v>-169800000</v>
      </c>
      <c r="D30" s="39">
        <f t="shared" si="8"/>
        <v>-136692000</v>
      </c>
      <c r="E30" s="39">
        <f t="shared" si="8"/>
        <v>-107225880</v>
      </c>
      <c r="F30" s="39">
        <f t="shared" si="8"/>
        <v>-81001033.200000018</v>
      </c>
      <c r="G30" s="39">
        <f t="shared" si="8"/>
        <v>-57660919.548000008</v>
      </c>
      <c r="H30" s="39">
        <f t="shared" si="8"/>
        <v>-36888218.397720009</v>
      </c>
      <c r="I30" s="39">
        <f t="shared" si="8"/>
        <v>-18400514.373970807</v>
      </c>
      <c r="J30" s="39">
        <f t="shared" si="8"/>
        <v>-1946457.7928340137</v>
      </c>
      <c r="K30" s="39">
        <f t="shared" si="8"/>
        <v>12697652.564377755</v>
      </c>
      <c r="L30" s="39">
        <f t="shared" si="8"/>
        <v>25730910.782296211</v>
      </c>
      <c r="M30" s="39">
        <f t="shared" si="8"/>
        <v>37330510.59624362</v>
      </c>
      <c r="N30" s="39">
        <f t="shared" si="8"/>
        <v>47654154.430656791</v>
      </c>
      <c r="O30" s="39">
        <f t="shared" si="8"/>
        <v>56842197.443284512</v>
      </c>
      <c r="P30" s="39">
        <f t="shared" si="8"/>
        <v>65019555.724523306</v>
      </c>
      <c r="Q30" s="39">
        <f t="shared" si="8"/>
        <v>72297404.594825685</v>
      </c>
      <c r="R30" s="39">
        <f t="shared" si="8"/>
        <v>78774690.089394808</v>
      </c>
      <c r="S30" s="39">
        <f t="shared" si="8"/>
        <v>84539474.179561436</v>
      </c>
      <c r="T30" s="39">
        <f t="shared" si="8"/>
        <v>89670132.019809663</v>
      </c>
      <c r="U30" s="39">
        <f t="shared" si="8"/>
        <v>94236417.497630596</v>
      </c>
      <c r="V30" s="39">
        <f t="shared" si="8"/>
        <v>98300411.572891295</v>
      </c>
      <c r="W30" s="39">
        <f t="shared" si="8"/>
        <v>101917366.29987323</v>
      </c>
      <c r="X30" s="39">
        <f t="shared" si="8"/>
        <v>105136456.00688714</v>
      </c>
      <c r="Y30" s="39">
        <f t="shared" si="8"/>
        <v>108001445.8461296</v>
      </c>
      <c r="Z30" s="39">
        <f t="shared" si="8"/>
        <v>110551286.80305529</v>
      </c>
      <c r="AA30" s="40">
        <f t="shared" si="3"/>
        <v>579085043.13891613</v>
      </c>
    </row>
    <row r="32" spans="2:27" x14ac:dyDescent="0.25">
      <c r="B32" s="7" t="s">
        <v>126</v>
      </c>
      <c r="C32" s="33">
        <f>C30-$C$15</f>
        <v>-469800000</v>
      </c>
      <c r="D32" s="33">
        <f t="shared" ref="D32:Z32" si="9">D30</f>
        <v>-136692000</v>
      </c>
      <c r="E32" s="33">
        <f t="shared" si="9"/>
        <v>-107225880</v>
      </c>
      <c r="F32" s="33">
        <f t="shared" si="9"/>
        <v>-81001033.200000018</v>
      </c>
      <c r="G32" s="33">
        <f t="shared" si="9"/>
        <v>-57660919.548000008</v>
      </c>
      <c r="H32" s="33">
        <f t="shared" si="9"/>
        <v>-36888218.397720009</v>
      </c>
      <c r="I32" s="33">
        <f t="shared" si="9"/>
        <v>-18400514.373970807</v>
      </c>
      <c r="J32" s="33">
        <f t="shared" si="9"/>
        <v>-1946457.7928340137</v>
      </c>
      <c r="K32" s="33">
        <f t="shared" si="9"/>
        <v>12697652.564377755</v>
      </c>
      <c r="L32" s="33">
        <f t="shared" si="9"/>
        <v>25730910.782296211</v>
      </c>
      <c r="M32" s="33">
        <f t="shared" si="9"/>
        <v>37330510.59624362</v>
      </c>
      <c r="N32" s="33">
        <f t="shared" si="9"/>
        <v>47654154.430656791</v>
      </c>
      <c r="O32" s="33">
        <f t="shared" si="9"/>
        <v>56842197.443284512</v>
      </c>
      <c r="P32" s="33">
        <f t="shared" si="9"/>
        <v>65019555.724523306</v>
      </c>
      <c r="Q32" s="33">
        <f t="shared" si="9"/>
        <v>72297404.594825685</v>
      </c>
      <c r="R32" s="33">
        <f t="shared" si="9"/>
        <v>78774690.089394808</v>
      </c>
      <c r="S32" s="33">
        <f t="shared" si="9"/>
        <v>84539474.179561436</v>
      </c>
      <c r="T32" s="33">
        <f t="shared" si="9"/>
        <v>89670132.019809663</v>
      </c>
      <c r="U32" s="33">
        <f t="shared" si="9"/>
        <v>94236417.497630596</v>
      </c>
      <c r="V32" s="33">
        <f t="shared" si="9"/>
        <v>98300411.572891295</v>
      </c>
      <c r="W32" s="33">
        <f t="shared" si="9"/>
        <v>101917366.29987323</v>
      </c>
      <c r="X32" s="33">
        <f t="shared" si="9"/>
        <v>105136456.00688714</v>
      </c>
      <c r="Y32" s="33">
        <f t="shared" si="9"/>
        <v>108001445.8461296</v>
      </c>
      <c r="Z32" s="33">
        <f t="shared" si="9"/>
        <v>110551286.80305529</v>
      </c>
      <c r="AA32" s="34">
        <f>SUM(C32:Z32)</f>
        <v>279085043.13891608</v>
      </c>
    </row>
    <row r="33" spans="2:26" x14ac:dyDescent="0.25">
      <c r="B33" s="41" t="s">
        <v>127</v>
      </c>
      <c r="C33" s="42">
        <f>$C$16+C32</f>
        <v>1230200000</v>
      </c>
      <c r="D33" s="42">
        <f t="shared" ref="D33:Z33" si="10">C33+D32</f>
        <v>1093508000</v>
      </c>
      <c r="E33" s="42">
        <f t="shared" si="10"/>
        <v>986282120</v>
      </c>
      <c r="F33" s="42">
        <f t="shared" si="10"/>
        <v>905281086.79999995</v>
      </c>
      <c r="G33" s="42">
        <f t="shared" si="10"/>
        <v>847620167.25199997</v>
      </c>
      <c r="H33" s="42">
        <f t="shared" si="10"/>
        <v>810731948.85427999</v>
      </c>
      <c r="I33" s="42">
        <f t="shared" si="10"/>
        <v>792331434.48030925</v>
      </c>
      <c r="J33" s="42">
        <f t="shared" si="10"/>
        <v>790384976.6874752</v>
      </c>
      <c r="K33" s="42">
        <f t="shared" si="10"/>
        <v>803082629.25185299</v>
      </c>
      <c r="L33" s="42">
        <f t="shared" si="10"/>
        <v>828813540.03414917</v>
      </c>
      <c r="M33" s="42">
        <f t="shared" si="10"/>
        <v>866144050.63039279</v>
      </c>
      <c r="N33" s="42">
        <f t="shared" si="10"/>
        <v>913798205.06104958</v>
      </c>
      <c r="O33" s="42">
        <f t="shared" si="10"/>
        <v>970640402.50433409</v>
      </c>
      <c r="P33" s="42">
        <f t="shared" si="10"/>
        <v>1035659958.2288574</v>
      </c>
      <c r="Q33" s="42">
        <f t="shared" si="10"/>
        <v>1107957362.823683</v>
      </c>
      <c r="R33" s="42">
        <f t="shared" si="10"/>
        <v>1186732052.9130778</v>
      </c>
      <c r="S33" s="42">
        <f t="shared" si="10"/>
        <v>1271271527.0926392</v>
      </c>
      <c r="T33" s="42">
        <f t="shared" si="10"/>
        <v>1360941659.1124489</v>
      </c>
      <c r="U33" s="42">
        <f t="shared" si="10"/>
        <v>1455178076.6100795</v>
      </c>
      <c r="V33" s="42">
        <f t="shared" si="10"/>
        <v>1553478488.1829708</v>
      </c>
      <c r="W33" s="42">
        <f t="shared" si="10"/>
        <v>1655395854.4828439</v>
      </c>
      <c r="X33" s="42">
        <f t="shared" si="10"/>
        <v>1760532310.4897311</v>
      </c>
      <c r="Y33" s="42">
        <f t="shared" si="10"/>
        <v>1868533756.3358607</v>
      </c>
      <c r="Z33" s="42">
        <f t="shared" si="10"/>
        <v>1979085043.138916</v>
      </c>
    </row>
    <row r="36" spans="2:26" x14ac:dyDescent="0.25">
      <c r="B36" s="50" t="s">
        <v>128</v>
      </c>
      <c r="C36" s="50"/>
      <c r="D36" s="50"/>
      <c r="E36" s="50"/>
      <c r="F36" s="50"/>
      <c r="G36" s="50"/>
      <c r="H36" s="50"/>
      <c r="I36" s="50"/>
      <c r="J36" s="50"/>
    </row>
    <row r="37" spans="2:26" x14ac:dyDescent="0.25">
      <c r="B37" s="6" t="s">
        <v>129</v>
      </c>
      <c r="C37" s="43">
        <f>(NPV($C$17,D32:Z32)+C32)/1000000</f>
        <v>22.920883986670791</v>
      </c>
      <c r="D37" s="25" t="str">
        <f>"(target: &gt; 0)"</f>
        <v>(target: &gt; 0)</v>
      </c>
    </row>
    <row r="38" spans="2:26" x14ac:dyDescent="0.25">
      <c r="B38" s="6" t="s">
        <v>130</v>
      </c>
      <c r="C38" s="44">
        <f>IFERROR((1+IRR(C32:Z32))^12-1,0)</f>
        <v>0.22328484946513294</v>
      </c>
      <c r="D38" s="25" t="str">
        <f>"(target: &gt; "&amp;TEXT(CHOOSE($C$6,'1. Assumptions'!C35,'1. Assumptions'!D35,'1. Assumptions'!E35),"0.0%")&amp;")"</f>
        <v>(target: &gt; 20.0%)</v>
      </c>
      <c r="E38" s="48"/>
    </row>
    <row r="39" spans="2:26" x14ac:dyDescent="0.25">
      <c r="B39" s="6" t="s">
        <v>131</v>
      </c>
      <c r="C39" s="45">
        <f>IFERROR(MATCH(TRUE(),INDEX(C41:Z41&gt;=0,0),0),"&gt; 24")</f>
        <v>22</v>
      </c>
      <c r="D39" s="25" t="str">
        <f>"(target: &lt; 24)"</f>
        <v>(target: &lt; 24)</v>
      </c>
    </row>
    <row r="40" spans="2:26" x14ac:dyDescent="0.25">
      <c r="B40" s="6" t="s">
        <v>132</v>
      </c>
      <c r="C40" s="45" t="str">
        <f>IFERROR(MATCH(TRUE(),INDEX(C33:Z33&lt;0,0),0)-1,"&gt;= 24")</f>
        <v>&gt;= 24</v>
      </c>
      <c r="D40" s="25" t="str">
        <f>"(target: &gt;= 12)"</f>
        <v>(target: &gt;= 12)</v>
      </c>
    </row>
    <row r="41" spans="2:26" x14ac:dyDescent="0.25">
      <c r="B41" s="46" t="s">
        <v>133</v>
      </c>
      <c r="C41" s="47">
        <f>C32</f>
        <v>-469800000</v>
      </c>
      <c r="D41" s="47">
        <f t="shared" ref="D41:Z41" si="11">C41+D32</f>
        <v>-606492000</v>
      </c>
      <c r="E41" s="47">
        <f t="shared" si="11"/>
        <v>-713717880</v>
      </c>
      <c r="F41" s="47">
        <f t="shared" si="11"/>
        <v>-794718913.20000005</v>
      </c>
      <c r="G41" s="47">
        <f t="shared" si="11"/>
        <v>-852379832.74800003</v>
      </c>
      <c r="H41" s="47">
        <f t="shared" si="11"/>
        <v>-889268051.14572001</v>
      </c>
      <c r="I41" s="47">
        <f t="shared" si="11"/>
        <v>-907668565.51969075</v>
      </c>
      <c r="J41" s="47">
        <f t="shared" si="11"/>
        <v>-909615023.3125248</v>
      </c>
      <c r="K41" s="47">
        <f t="shared" si="11"/>
        <v>-896917370.74814701</v>
      </c>
      <c r="L41" s="47">
        <f t="shared" si="11"/>
        <v>-871186459.96585083</v>
      </c>
      <c r="M41" s="47">
        <f t="shared" si="11"/>
        <v>-833855949.36960721</v>
      </c>
      <c r="N41" s="47">
        <f t="shared" si="11"/>
        <v>-786201794.93895042</v>
      </c>
      <c r="O41" s="47">
        <f t="shared" si="11"/>
        <v>-729359597.49566591</v>
      </c>
      <c r="P41" s="47">
        <f t="shared" si="11"/>
        <v>-664340041.7711426</v>
      </c>
      <c r="Q41" s="47">
        <f t="shared" si="11"/>
        <v>-592042637.17631698</v>
      </c>
      <c r="R41" s="47">
        <f t="shared" si="11"/>
        <v>-513267947.08692217</v>
      </c>
      <c r="S41" s="47">
        <f t="shared" si="11"/>
        <v>-428728472.90736073</v>
      </c>
      <c r="T41" s="47">
        <f t="shared" si="11"/>
        <v>-339058340.88755107</v>
      </c>
      <c r="U41" s="47">
        <f t="shared" si="11"/>
        <v>-244821923.38992047</v>
      </c>
      <c r="V41" s="47">
        <f t="shared" si="11"/>
        <v>-146521511.81702918</v>
      </c>
      <c r="W41" s="47">
        <f t="shared" si="11"/>
        <v>-44604145.517155945</v>
      </c>
      <c r="X41" s="47">
        <f t="shared" si="11"/>
        <v>60532310.489731193</v>
      </c>
      <c r="Y41" s="47">
        <f t="shared" si="11"/>
        <v>168533756.33586079</v>
      </c>
      <c r="Z41" s="47">
        <f t="shared" si="11"/>
        <v>279085043.13891608</v>
      </c>
    </row>
    <row r="43" spans="2:26" x14ac:dyDescent="0.25">
      <c r="B43" s="50" t="s">
        <v>134</v>
      </c>
      <c r="C43" s="50"/>
      <c r="D43" s="50"/>
      <c r="E43" s="50"/>
      <c r="F43" s="50"/>
      <c r="G43" s="50"/>
      <c r="H43" s="50"/>
      <c r="I43" s="50"/>
      <c r="J43" s="50"/>
    </row>
    <row r="44" spans="2:26" ht="15.75" x14ac:dyDescent="0.25">
      <c r="B44" s="6" t="s">
        <v>135</v>
      </c>
      <c r="C44" s="53" t="str">
        <f>IF(AND(C37&gt;0,C38&gt;CHOOSE($C$6,'1. Assumptions'!C35,'1. Assumptions'!D35,'1. Assumptions'!E35)),"✓ GO — NPV+ và IRR &gt; WACC",IF(C37&lt;0,"✗ NO-GO — NPV âm: dự án không tạo giá trị","⚠ HOLD — IRR thấp hơn kỳ vọng, cần điều chỉnh"))</f>
        <v>✓ GO — NPV+ và IRR &gt; WACC</v>
      </c>
      <c r="D44" s="53"/>
      <c r="E44" s="53"/>
      <c r="F44" s="53"/>
      <c r="G44" s="53"/>
      <c r="H44" s="53"/>
      <c r="I44" s="53"/>
      <c r="J44" s="53"/>
    </row>
  </sheetData>
  <mergeCells count="6">
    <mergeCell ref="C44:J44"/>
    <mergeCell ref="B2:H2"/>
    <mergeCell ref="D4:H4"/>
    <mergeCell ref="B20:AA20"/>
    <mergeCell ref="B36:J36"/>
    <mergeCell ref="B43:J43"/>
  </mergeCells>
  <conditionalFormatting sqref="C37">
    <cfRule type="cellIs" dxfId="11" priority="26" operator="greaterThan">
      <formula>0</formula>
    </cfRule>
    <cfRule type="cellIs" dxfId="10" priority="27" operator="lessThanOrEqual">
      <formula>0</formula>
    </cfRule>
  </conditionalFormatting>
  <conditionalFormatting sqref="C40">
    <cfRule type="expression" dxfId="7" priority="30">
      <formula>AND(ISNUMBER(C40),C40&lt;12)</formula>
    </cfRule>
  </conditionalFormatting>
  <conditionalFormatting sqref="C33:Z33">
    <cfRule type="cellIs" dxfId="6" priority="2" operator="lessThan">
      <formula>0</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Normal="100" workbookViewId="0">
      <pane ySplit="5" topLeftCell="A6" activePane="bottomLeft" state="frozen"/>
      <selection pane="bottomLeft" activeCell="B22" sqref="B22"/>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1" t="s">
        <v>51</v>
      </c>
      <c r="C2" s="51"/>
      <c r="D2" s="51"/>
      <c r="E2" s="51"/>
      <c r="F2" s="51"/>
    </row>
    <row r="3" spans="2:7" ht="19.5" customHeight="1" x14ac:dyDescent="0.25">
      <c r="B3" s="52" t="s">
        <v>52</v>
      </c>
      <c r="C3" s="52"/>
      <c r="D3" s="52"/>
      <c r="E3" s="52"/>
      <c r="F3" s="52"/>
      <c r="G3" s="52"/>
    </row>
    <row r="5" spans="2:7" x14ac:dyDescent="0.25">
      <c r="B5" s="6" t="s">
        <v>53</v>
      </c>
      <c r="C5" s="2" t="s">
        <v>3</v>
      </c>
      <c r="D5" s="3" t="s">
        <v>4</v>
      </c>
      <c r="E5" s="4" t="s">
        <v>5</v>
      </c>
      <c r="F5" s="5" t="s">
        <v>6</v>
      </c>
      <c r="G5" s="6" t="s">
        <v>54</v>
      </c>
    </row>
    <row r="7" spans="2:7" x14ac:dyDescent="0.25">
      <c r="B7" s="50" t="s">
        <v>55</v>
      </c>
      <c r="C7" s="50"/>
      <c r="D7" s="50"/>
      <c r="E7" s="50"/>
      <c r="F7" s="50"/>
    </row>
    <row r="8" spans="2:7" x14ac:dyDescent="0.25">
      <c r="B8" s="7" t="s">
        <v>56</v>
      </c>
      <c r="C8" s="19">
        <f>'1. Assumptions'!C7</f>
        <v>180000</v>
      </c>
      <c r="D8" s="19">
        <f>'1. Assumptions'!D7</f>
        <v>150000</v>
      </c>
      <c r="E8" s="19">
        <f>'1. Assumptions'!E7</f>
        <v>130000</v>
      </c>
      <c r="F8" s="9" t="s">
        <v>9</v>
      </c>
      <c r="G8" s="1" t="s">
        <v>57</v>
      </c>
    </row>
    <row r="9" spans="2:7" x14ac:dyDescent="0.25">
      <c r="B9" s="7" t="s">
        <v>58</v>
      </c>
      <c r="C9" s="19">
        <f>'1. Assumptions'!C15</f>
        <v>67000</v>
      </c>
      <c r="D9" s="19">
        <f>'1. Assumptions'!D15</f>
        <v>70000</v>
      </c>
      <c r="E9" s="19">
        <f>'1. Assumptions'!E15</f>
        <v>68000</v>
      </c>
      <c r="F9" s="9" t="s">
        <v>9</v>
      </c>
    </row>
    <row r="10" spans="2:7" x14ac:dyDescent="0.25">
      <c r="B10" s="14" t="s">
        <v>59</v>
      </c>
      <c r="C10" s="17">
        <f>C8-C9</f>
        <v>113000</v>
      </c>
      <c r="D10" s="17">
        <f>D8-D9</f>
        <v>80000</v>
      </c>
      <c r="E10" s="17">
        <f>E8-E9</f>
        <v>62000</v>
      </c>
      <c r="F10" s="16"/>
    </row>
    <row r="11" spans="2:7" x14ac:dyDescent="0.25">
      <c r="B11" s="14" t="s">
        <v>60</v>
      </c>
      <c r="C11" s="18">
        <f>IFERROR(C10/C8,0)</f>
        <v>0.62777777777777777</v>
      </c>
      <c r="D11" s="18">
        <f>IFERROR(D10/D8,0)</f>
        <v>0.53333333333333333</v>
      </c>
      <c r="E11" s="18">
        <f>IFERROR(E10/E8,0)</f>
        <v>0.47692307692307695</v>
      </c>
      <c r="F11" s="16"/>
      <c r="G11" s="1" t="s">
        <v>61</v>
      </c>
    </row>
    <row r="13" spans="2:7" x14ac:dyDescent="0.25">
      <c r="B13" s="50" t="s">
        <v>62</v>
      </c>
      <c r="C13" s="50"/>
      <c r="D13" s="50"/>
      <c r="E13" s="50"/>
      <c r="F13" s="50"/>
    </row>
    <row r="14" spans="2:7" x14ac:dyDescent="0.25">
      <c r="B14" s="7" t="s">
        <v>63</v>
      </c>
      <c r="C14" s="20">
        <f>'1. Assumptions'!C19</f>
        <v>11.111111111111111</v>
      </c>
      <c r="D14" s="20">
        <f>'1. Assumptions'!D19</f>
        <v>10</v>
      </c>
      <c r="E14" s="20">
        <f>'1. Assumptions'!E19</f>
        <v>9.0909090909090917</v>
      </c>
      <c r="F14" s="9" t="s">
        <v>64</v>
      </c>
    </row>
    <row r="15" spans="2:7" x14ac:dyDescent="0.25">
      <c r="B15" s="14" t="s">
        <v>65</v>
      </c>
      <c r="C15" s="17">
        <f>C10*C14</f>
        <v>1255555.5555555555</v>
      </c>
      <c r="D15" s="17">
        <f>D10*D14</f>
        <v>800000</v>
      </c>
      <c r="E15" s="17">
        <f>E10*E14</f>
        <v>563636.36363636365</v>
      </c>
      <c r="F15" s="16"/>
      <c r="G15" s="1" t="s">
        <v>66</v>
      </c>
    </row>
    <row r="17" spans="2:7" x14ac:dyDescent="0.25">
      <c r="B17" s="50" t="s">
        <v>67</v>
      </c>
      <c r="C17" s="50"/>
      <c r="D17" s="50"/>
      <c r="E17" s="50"/>
      <c r="F17" s="50"/>
    </row>
    <row r="18" spans="2:7" x14ac:dyDescent="0.25">
      <c r="B18" s="7" t="s">
        <v>68</v>
      </c>
      <c r="C18" s="19">
        <f>'1. Assumptions'!C22</f>
        <v>40000</v>
      </c>
      <c r="D18" s="19">
        <f>'1. Assumptions'!D22</f>
        <v>40000</v>
      </c>
      <c r="E18" s="19">
        <f>'1. Assumptions'!E22</f>
        <v>20000</v>
      </c>
      <c r="F18" s="9" t="s">
        <v>9</v>
      </c>
    </row>
    <row r="20" spans="2:7" x14ac:dyDescent="0.25">
      <c r="B20" s="50" t="s">
        <v>69</v>
      </c>
      <c r="C20" s="50"/>
      <c r="D20" s="50"/>
      <c r="E20" s="50"/>
      <c r="F20" s="50"/>
    </row>
    <row r="21" spans="2:7" x14ac:dyDescent="0.25">
      <c r="B21" s="14" t="s">
        <v>70</v>
      </c>
      <c r="C21" s="21">
        <f>IFERROR(C15/C18,0)</f>
        <v>31.388888888888889</v>
      </c>
      <c r="D21" s="21">
        <f>IFERROR(D15/D18,0)</f>
        <v>20</v>
      </c>
      <c r="E21" s="21">
        <f>IFERROR(E15/E18,0)</f>
        <v>28.181818181818183</v>
      </c>
      <c r="F21" s="16"/>
      <c r="G21" s="1" t="s">
        <v>71</v>
      </c>
    </row>
    <row r="22" spans="2:7" x14ac:dyDescent="0.25">
      <c r="B22" s="14" t="s">
        <v>72</v>
      </c>
      <c r="C22" s="15">
        <f>IFERROR(C18/C10,0)</f>
        <v>0.35398230088495575</v>
      </c>
      <c r="D22" s="15">
        <f>IFERROR(D18/D10,0)</f>
        <v>0.5</v>
      </c>
      <c r="E22" s="15">
        <f>IFERROR(E18/E10,0)</f>
        <v>0.32258064516129031</v>
      </c>
      <c r="F22" s="16"/>
      <c r="G22" s="1" t="s">
        <v>73</v>
      </c>
    </row>
    <row r="24" spans="2:7" x14ac:dyDescent="0.25">
      <c r="B24" s="50" t="s">
        <v>74</v>
      </c>
      <c r="C24" s="50"/>
      <c r="D24" s="50"/>
      <c r="E24" s="50"/>
      <c r="F24" s="50"/>
    </row>
    <row r="25" spans="2:7" x14ac:dyDescent="0.25">
      <c r="B25" s="6" t="s">
        <v>75</v>
      </c>
      <c r="C25" s="22" t="str">
        <f>IF(AND(C21&gt;=3,C22&lt;=12),"✓ HEALTHY",IF(OR(C21&lt;1,C22&gt;18),"✗ UNHEALTHY","⚠ WATCH"))</f>
        <v>✓ HEALTHY</v>
      </c>
      <c r="D25" s="22" t="str">
        <f>IF(AND(D21&gt;=3,D22&lt;=12),"✓ HEALTHY",IF(OR(D21&lt;1,D22&gt;18),"✗ UNHEALTHY","⚠ WATCH"))</f>
        <v>✓ HEALTHY</v>
      </c>
      <c r="E25" s="22" t="str">
        <f>IF(AND(E21&gt;=3,E22&lt;=12),"✓ HEALTHY",IF(OR(E21&lt;1,E22&gt;18),"✗ UNHEALTHY","⚠ WATCH"))</f>
        <v>✓ HEALTHY</v>
      </c>
    </row>
  </sheetData>
  <mergeCells count="7">
    <mergeCell ref="B20:F20"/>
    <mergeCell ref="B24:F24"/>
    <mergeCell ref="B2:F2"/>
    <mergeCell ref="B3:G3"/>
    <mergeCell ref="B7:F7"/>
    <mergeCell ref="B13:F13"/>
    <mergeCell ref="B17:F17"/>
  </mergeCells>
  <conditionalFormatting sqref="C21:E21">
    <cfRule type="cellIs" dxfId="5" priority="2" operator="lessThan">
      <formula>1</formula>
    </cfRule>
    <cfRule type="cellIs" dxfId="4" priority="3" operator="between">
      <formula>1</formula>
      <formula>3</formula>
    </cfRule>
    <cfRule type="cellIs" dxfId="3" priority="4" operator="greaterThanOrEqual">
      <formula>3</formula>
    </cfRule>
  </conditionalFormatting>
  <conditionalFormatting sqref="C22:E22">
    <cfRule type="cellIs" dxfId="2" priority="11" operator="greaterThan">
      <formula>18</formula>
    </cfRule>
    <cfRule type="cellIs" dxfId="1" priority="12" operator="between">
      <formula>12</formula>
      <formula>18</formula>
    </cfRule>
    <cfRule type="cellIs" dxfId="0" priority="13" operator="lessThanOrEqual">
      <formula>12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3. P&amp;L &amp; ROI</vt:lpstr>
      <vt:lpstr>2. Unit Economics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.31221021725 - Trần Vọng Triển</cp:lastModifiedBy>
  <cp:revision>0</cp:revision>
  <dcterms:created xsi:type="dcterms:W3CDTF">2026-05-03T14:07:25Z</dcterms:created>
  <dcterms:modified xsi:type="dcterms:W3CDTF">2026-05-04T16:49:15Z</dcterms:modified>
  <dc:language>en-US</dc:language>
</cp:coreProperties>
</file>